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ata\Vivit\"/>
    </mc:Choice>
  </mc:AlternateContent>
  <xr:revisionPtr revIDLastSave="0" documentId="13_ncr:1_{DB6B6C31-E8E8-4E2B-BCCE-BD8A69617395}" xr6:coauthVersionLast="33" xr6:coauthVersionMax="33" xr10:uidLastSave="{00000000-0000-0000-0000-000000000000}"/>
  <bookViews>
    <workbookView xWindow="0" yWindow="0" windowWidth="20460" windowHeight="7635" xr2:uid="{B24251F2-83E1-4210-85C2-A7FF510D71B2}"/>
  </bookViews>
  <sheets>
    <sheet name="SQLiteHoursUpdate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A13" i="1" l="1"/>
  <c r="A12" i="1"/>
  <c r="A11" i="1"/>
  <c r="A10" i="1"/>
  <c r="A9" i="1"/>
  <c r="A8" i="1"/>
  <c r="A7" i="1"/>
  <c r="A6" i="1"/>
  <c r="A5" i="1"/>
  <c r="A4" i="1"/>
  <c r="A3" i="1"/>
  <c r="A2" i="1"/>
  <c r="F13" i="1" l="1"/>
  <c r="F12" i="1"/>
  <c r="F11" i="1"/>
  <c r="F10" i="1"/>
  <c r="F3" i="1"/>
  <c r="F2" i="1"/>
  <c r="F9" i="1"/>
  <c r="F8" i="1"/>
  <c r="F7" i="1"/>
  <c r="F6" i="1"/>
  <c r="F5" i="1"/>
  <c r="F4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<sst xmlns="http://schemas.openxmlformats.org/spreadsheetml/2006/main" count="18" uniqueCount="18">
  <si>
    <t>Annemarie Stuiver</t>
  </si>
  <si>
    <t>Felicia Ford</t>
  </si>
  <si>
    <t>Jill Stefan</t>
  </si>
  <si>
    <t>Julanne Rutten (T1)</t>
  </si>
  <si>
    <t>Julanne Rutten (T2)</t>
  </si>
  <si>
    <t>Michelle Pivonka</t>
  </si>
  <si>
    <t>Rhonda Quaranta</t>
  </si>
  <si>
    <t>Rocky Pisto</t>
  </si>
  <si>
    <t>Stephanie Konkoy (ACL)</t>
  </si>
  <si>
    <t>Stephanie Konkoy (ED)</t>
  </si>
  <si>
    <t>Susan Russel</t>
  </si>
  <si>
    <t>Teri Sarallo</t>
  </si>
  <si>
    <t>Year_Month</t>
  </si>
  <si>
    <t>Contractor</t>
  </si>
  <si>
    <t>Hours</t>
  </si>
  <si>
    <t>SQL</t>
  </si>
  <si>
    <t>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</si>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</sst>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89A2-819A-4299-8844-36A4DF18486E}">
  <dimension ref="A1:F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bestFit="1" customWidth="1"/>
    <col min="2" max="2" width="22.5703125" bestFit="1" customWidth="1"/>
    <col min="3" max="4" width="6.5703125" bestFit="1" customWidth="1"/>
    <col min="5" max="5" width="9.140625" bestFit="1" customWidth="1"/>
    <col min="6" max="6" width="114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16</v>
      </c>
      <c r="E1" s="1" t="s">
        <v>17</v>
      </c>
      <c r="F1" s="1" t="s">
        <v>15</v>
      </c>
    </row>
    <row r="2" spans="1:6" x14ac:dyDescent="0.25">
      <c r="A2" s="5" t="str">
        <f ca="1">TEXT(NOW()-15,"YYYYMM")</f>
        <v>201805</v>
      </c>
      <c r="B2" s="2" t="s">
        <v>0</v>
      </c>
      <c r="C2" s="4">
        <v>0</v>
      </c>
      <c r="D2" s="3"/>
      <c r="E2" s="3">
        <f t="shared" ref="E2:E13" si="0">SUM(C2*D2)</f>
        <v>0</v>
      </c>
      <c r="F2" s="2" t="str">
        <f>IF(C2&gt;0,CONCATENATE("UPDATE [t_Vivit_Hours_Contractor] SET [Hours]=",FIXED(C2,2)," WHERE [Year_Month]='",A2,"' AND [Contractor]='",B2,"';"),"")</f>
        <v/>
      </c>
    </row>
    <row r="3" spans="1:6" x14ac:dyDescent="0.25">
      <c r="A3" s="5" t="str">
        <f t="shared" ref="A3:A13" ca="1" si="1">TEXT(NOW()-15,"YYYYMM")</f>
        <v>201805</v>
      </c>
      <c r="B3" s="2" t="s">
        <v>1</v>
      </c>
      <c r="C3" s="4">
        <v>10.25</v>
      </c>
      <c r="D3" s="3">
        <v>15</v>
      </c>
      <c r="E3" s="3">
        <f t="shared" si="0"/>
        <v>153.75</v>
      </c>
      <c r="F3" s="2" t="str">
        <f t="shared" ref="F3:F13" ca="1" si="2">IF(C3&gt;0,CONCATENATE("UPDATE [t_Vivit_Hours_Contractor] SET [Hours]=",FIXED(C3,2)," WHERE [Year_Month]='",A3,"' AND [Contractor]='",B3,"';"),"")</f>
        <v>UPDATE [t_Vivit_Hours_Contractor] SET [Hours]=10.25 WHERE [Year_Month]='201805' AND [Contractor]='Felicia Ford';</v>
      </c>
    </row>
    <row r="4" spans="1:6" x14ac:dyDescent="0.25">
      <c r="A4" s="5" t="str">
        <f t="shared" ca="1" si="1"/>
        <v>201805</v>
      </c>
      <c r="B4" s="2" t="s">
        <v>2</v>
      </c>
      <c r="C4" s="4">
        <v>147.75</v>
      </c>
      <c r="D4" s="3">
        <v>50</v>
      </c>
      <c r="E4" s="3">
        <f t="shared" si="0"/>
        <v>7387.5</v>
      </c>
      <c r="F4" s="2" t="str">
        <f t="shared" ca="1" si="2"/>
        <v>UPDATE [t_Vivit_Hours_Contractor] SET [Hours]=147.75 WHERE [Year_Month]='201805' AND [Contractor]='Jill Stefan';</v>
      </c>
    </row>
    <row r="5" spans="1:6" x14ac:dyDescent="0.25">
      <c r="A5" s="5" t="str">
        <f t="shared" ca="1" si="1"/>
        <v>201805</v>
      </c>
      <c r="B5" s="2" t="s">
        <v>3</v>
      </c>
      <c r="C5" s="4">
        <v>31.5</v>
      </c>
      <c r="D5" s="3">
        <v>60</v>
      </c>
      <c r="E5" s="3">
        <f t="shared" si="0"/>
        <v>1890</v>
      </c>
      <c r="F5" s="2" t="str">
        <f t="shared" ca="1" si="2"/>
        <v>UPDATE [t_Vivit_Hours_Contractor] SET [Hours]=31.50 WHERE [Year_Month]='201805' AND [Contractor]='Julanne Rutten (T1)';</v>
      </c>
    </row>
    <row r="6" spans="1:6" x14ac:dyDescent="0.25">
      <c r="A6" s="5" t="str">
        <f t="shared" ca="1" si="1"/>
        <v>201805</v>
      </c>
      <c r="B6" s="2" t="s">
        <v>4</v>
      </c>
      <c r="C6" s="4">
        <v>4</v>
      </c>
      <c r="D6" s="3">
        <v>70</v>
      </c>
      <c r="E6" s="3">
        <f t="shared" si="0"/>
        <v>280</v>
      </c>
      <c r="F6" s="2" t="str">
        <f t="shared" ca="1" si="2"/>
        <v>UPDATE [t_Vivit_Hours_Contractor] SET [Hours]=4.00 WHERE [Year_Month]='201805' AND [Contractor]='Julanne Rutten (T2)';</v>
      </c>
    </row>
    <row r="7" spans="1:6" x14ac:dyDescent="0.25">
      <c r="A7" s="5" t="str">
        <f t="shared" ca="1" si="1"/>
        <v>201805</v>
      </c>
      <c r="B7" s="2" t="s">
        <v>5</v>
      </c>
      <c r="C7" s="4">
        <v>2</v>
      </c>
      <c r="D7" s="3">
        <v>15</v>
      </c>
      <c r="E7" s="3">
        <f t="shared" si="0"/>
        <v>30</v>
      </c>
      <c r="F7" s="2" t="str">
        <f t="shared" ca="1" si="2"/>
        <v>UPDATE [t_Vivit_Hours_Contractor] SET [Hours]=2.00 WHERE [Year_Month]='201805' AND [Contractor]='Michelle Pivonka';</v>
      </c>
    </row>
    <row r="8" spans="1:6" x14ac:dyDescent="0.25">
      <c r="A8" s="5" t="str">
        <f t="shared" ca="1" si="1"/>
        <v>201805</v>
      </c>
      <c r="B8" s="2" t="s">
        <v>6</v>
      </c>
      <c r="C8" s="4">
        <v>81</v>
      </c>
      <c r="D8" s="3">
        <v>25</v>
      </c>
      <c r="E8" s="3">
        <f t="shared" si="0"/>
        <v>2025</v>
      </c>
      <c r="F8" s="2" t="str">
        <f t="shared" ca="1" si="2"/>
        <v>UPDATE [t_Vivit_Hours_Contractor] SET [Hours]=81.00 WHERE [Year_Month]='201805' AND [Contractor]='Rhonda Quaranta';</v>
      </c>
    </row>
    <row r="9" spans="1:6" x14ac:dyDescent="0.25">
      <c r="A9" s="5" t="str">
        <f t="shared" ca="1" si="1"/>
        <v>201805</v>
      </c>
      <c r="B9" s="2" t="s">
        <v>7</v>
      </c>
      <c r="C9" s="4">
        <v>74.3</v>
      </c>
      <c r="D9" s="3">
        <v>40</v>
      </c>
      <c r="E9" s="3">
        <f t="shared" si="0"/>
        <v>2972</v>
      </c>
      <c r="F9" s="2" t="str">
        <f t="shared" ca="1" si="2"/>
        <v>UPDATE [t_Vivit_Hours_Contractor] SET [Hours]=74.30 WHERE [Year_Month]='201805' AND [Contractor]='Rocky Pisto';</v>
      </c>
    </row>
    <row r="10" spans="1:6" x14ac:dyDescent="0.25">
      <c r="A10" s="5" t="str">
        <f t="shared" ca="1" si="1"/>
        <v>201805</v>
      </c>
      <c r="B10" s="2" t="s">
        <v>8</v>
      </c>
      <c r="C10" s="4">
        <v>20.329999999999998</v>
      </c>
      <c r="D10" s="3">
        <v>40</v>
      </c>
      <c r="E10" s="3">
        <f t="shared" si="0"/>
        <v>813.19999999999993</v>
      </c>
      <c r="F10" s="2" t="str">
        <f t="shared" ca="1" si="2"/>
        <v>UPDATE [t_Vivit_Hours_Contractor] SET [Hours]=20.33 WHERE [Year_Month]='201805' AND [Contractor]='Stephanie Konkoy (ACL)';</v>
      </c>
    </row>
    <row r="11" spans="1:6" x14ac:dyDescent="0.25">
      <c r="A11" s="5" t="str">
        <f t="shared" ca="1" si="1"/>
        <v>201805</v>
      </c>
      <c r="B11" s="2" t="s">
        <v>9</v>
      </c>
      <c r="C11" s="4">
        <v>125.42</v>
      </c>
      <c r="D11" s="3">
        <v>50</v>
      </c>
      <c r="E11" s="3">
        <f t="shared" si="0"/>
        <v>6271</v>
      </c>
      <c r="F11" s="2" t="str">
        <f t="shared" ca="1" si="2"/>
        <v>UPDATE [t_Vivit_Hours_Contractor] SET [Hours]=125.42 WHERE [Year_Month]='201805' AND [Contractor]='Stephanie Konkoy (ED)';</v>
      </c>
    </row>
    <row r="12" spans="1:6" x14ac:dyDescent="0.25">
      <c r="A12" s="5" t="str">
        <f t="shared" ca="1" si="1"/>
        <v>201805</v>
      </c>
      <c r="B12" s="2" t="s">
        <v>10</v>
      </c>
      <c r="C12" s="4">
        <v>0</v>
      </c>
      <c r="D12" s="3">
        <v>50</v>
      </c>
      <c r="E12" s="3">
        <f t="shared" si="0"/>
        <v>0</v>
      </c>
      <c r="F12" s="2" t="str">
        <f t="shared" si="2"/>
        <v/>
      </c>
    </row>
    <row r="13" spans="1:6" x14ac:dyDescent="0.25">
      <c r="A13" s="5" t="str">
        <f t="shared" ca="1" si="1"/>
        <v>201805</v>
      </c>
      <c r="B13" s="2" t="s">
        <v>11</v>
      </c>
      <c r="C13" s="4">
        <v>119</v>
      </c>
      <c r="D13" s="3">
        <v>35</v>
      </c>
      <c r="E13" s="3">
        <f t="shared" si="0"/>
        <v>4165</v>
      </c>
      <c r="F13" s="2" t="str">
        <f t="shared" ca="1" si="2"/>
        <v>UPDATE [t_Vivit_Hours_Contractor] SET [Hours]=119.00 WHERE [Year_Month]='201805' AND [Contractor]='Teri Sarallo';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SQLiteHoursUpdate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J. Scharer</dc:creator>
  <cp:lastModifiedBy>Christopher J. Scharer</cp:lastModifiedBy>
  <dcterms:created xsi:type="dcterms:W3CDTF">2018-05-31T23:37:46Z</dcterms:created>
  <dcterms:modified xsi:type="dcterms:W3CDTF">2018-06-04T05:05:45Z</dcterms:modified>
</cp:coreProperties>
</file>